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<sst xmlns="http://schemas.openxmlformats.org/spreadsheetml/2006/main" count="93" uniqueCount="78">
  <si>
    <t xml:space="preserve">Gene</t>
  </si>
  <si>
    <t xml:space="preserve">Resistance class</t>
  </si>
  <si>
    <t xml:space="preserve">KW H</t>
  </si>
  <si>
    <t xml:space="preserve">P value</t>
  </si>
  <si>
    <t xml:space="preserve">Q value BH</t>
  </si>
  <si>
    <t xml:space="preserve">Sig p005</t>
  </si>
  <si>
    <t xml:space="preserve">Sig q005</t>
  </si>
  <si>
    <t xml:space="preserve">Human prevalence</t>
  </si>
  <si>
    <t xml:space="preserve">Animal_prevalence</t>
  </si>
  <si>
    <t xml:space="preserve">Environment prevalence</t>
  </si>
  <si>
    <t xml:space="preserve">Convergence score</t>
  </si>
  <si>
    <t xml:space="preserve">gyra</t>
  </si>
  <si>
    <t xml:space="preserve">Quinolone (QRDR)</t>
  </si>
  <si>
    <t xml:space="preserve">parc</t>
  </si>
  <si>
    <t xml:space="preserve">blaoxa_23like</t>
  </si>
  <si>
    <t xml:space="preserve">Carbapenem (OXA-23)</t>
  </si>
  <si>
    <t xml:space="preserve">sul</t>
  </si>
  <si>
    <t xml:space="preserve">Sulfonamide</t>
  </si>
  <si>
    <t xml:space="preserve">adec</t>
  </si>
  <si>
    <t xml:space="preserve">Efflux pump (AdeABC)</t>
  </si>
  <si>
    <t xml:space="preserve">msr(e)</t>
  </si>
  <si>
    <t xml:space="preserve">Macrolide</t>
  </si>
  <si>
    <t xml:space="preserve">mph(e)</t>
  </si>
  <si>
    <t xml:space="preserve">aph(6)</t>
  </si>
  <si>
    <t xml:space="preserve">Aminoglycoside</t>
  </si>
  <si>
    <t xml:space="preserve">aph(3'')</t>
  </si>
  <si>
    <t xml:space="preserve">arma</t>
  </si>
  <si>
    <t xml:space="preserve">Aminoglycoside (16S methylase)</t>
  </si>
  <si>
    <t xml:space="preserve">tet(b)</t>
  </si>
  <si>
    <t xml:space="preserve">Tetracycline</t>
  </si>
  <si>
    <t xml:space="preserve">aph(3')</t>
  </si>
  <si>
    <t xml:space="preserve">blatem</t>
  </si>
  <si>
    <t xml:space="preserve">Beta-lactam (TEM)</t>
  </si>
  <si>
    <t xml:space="preserve">ftsi</t>
  </si>
  <si>
    <t xml:space="preserve">Beta-lactam (PBP3)</t>
  </si>
  <si>
    <t xml:space="preserve">qacedelta</t>
  </si>
  <si>
    <t xml:space="preserve">Disinfectant (QAC)</t>
  </si>
  <si>
    <t xml:space="preserve">abaf</t>
  </si>
  <si>
    <t xml:space="preserve">Fosfomycin</t>
  </si>
  <si>
    <t xml:space="preserve">aada</t>
  </si>
  <si>
    <t xml:space="preserve">aac(6')</t>
  </si>
  <si>
    <t xml:space="preserve">catb</t>
  </si>
  <si>
    <t xml:space="preserve">Phenicol</t>
  </si>
  <si>
    <t xml:space="preserve">mcr-4.3</t>
  </si>
  <si>
    <t xml:space="preserve">Colistin</t>
  </si>
  <si>
    <t xml:space="preserve">aac(3)</t>
  </si>
  <si>
    <t xml:space="preserve">dfra</t>
  </si>
  <si>
    <t xml:space="preserve">Trimethoprim</t>
  </si>
  <si>
    <t xml:space="preserve">blandm</t>
  </si>
  <si>
    <t xml:space="preserve">Carbapenem (MBL)</t>
  </si>
  <si>
    <t xml:space="preserve">ant(2'')</t>
  </si>
  <si>
    <t xml:space="preserve">tet(x5)</t>
  </si>
  <si>
    <t xml:space="preserve">Tetracycline (Tet-X5)</t>
  </si>
  <si>
    <t xml:space="preserve">arr-2</t>
  </si>
  <si>
    <t xml:space="preserve">Rifampicin</t>
  </si>
  <si>
    <t xml:space="preserve">pmrb</t>
  </si>
  <si>
    <t xml:space="preserve">Colistin (pmrB)</t>
  </si>
  <si>
    <t xml:space="preserve">blaimp</t>
  </si>
  <si>
    <t xml:space="preserve">Carbapenem</t>
  </si>
  <si>
    <t xml:space="preserve">blaoxa_58like</t>
  </si>
  <si>
    <t xml:space="preserve">Carbapenem (OXA-58)</t>
  </si>
  <si>
    <t xml:space="preserve">blaoxa_24like</t>
  </si>
  <si>
    <t xml:space="preserve">Carbapenem (OXA-24)</t>
  </si>
  <si>
    <t xml:space="preserve">tet(x3)</t>
  </si>
  <si>
    <t xml:space="preserve">Tetracycline (Tet-X3)</t>
  </si>
  <si>
    <t xml:space="preserve">blaoxa_235like</t>
  </si>
  <si>
    <t xml:space="preserve">Carbapenem (OXA-235)</t>
  </si>
  <si>
    <t xml:space="preserve">mert</t>
  </si>
  <si>
    <t xml:space="preserve">Metal resistance</t>
  </si>
  <si>
    <t xml:space="preserve">merr</t>
  </si>
  <si>
    <t xml:space="preserve">arr-3</t>
  </si>
  <si>
    <t xml:space="preserve">rpob</t>
  </si>
  <si>
    <t xml:space="preserve">blavim</t>
  </si>
  <si>
    <t xml:space="preserve">blaoxa_143like</t>
  </si>
  <si>
    <t xml:space="preserve">Carbapenem (OXA-143)</t>
  </si>
  <si>
    <t xml:space="preserve">blakpc</t>
  </si>
  <si>
    <t xml:space="preserve">arr</t>
  </si>
  <si>
    <t xml:space="preserve">mcr-4.7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</si>
</sst>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9" activeCellId="0" sqref="M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3.36"/>
    <col collapsed="false" customWidth="true" hidden="false" outlineLevel="0" max="7" min="7" style="1" width="15.07"/>
    <col collapsed="false" customWidth="true" hidden="false" outlineLevel="0" max="8" min="8" style="1" width="18"/>
    <col collapsed="false" customWidth="true" hidden="false" outlineLevel="0" max="9" min="9" style="1" width="19"/>
    <col collapsed="false" customWidth="true" hidden="false" outlineLevel="0" max="10" min="10" style="1" width="24"/>
    <col collapsed="false" customWidth="true" hidden="false" outlineLevel="0" max="11" min="11" style="1" width="19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n">
        <v>1350.755</v>
      </c>
      <c r="D2" s="3" t="n">
        <v>0.0001</v>
      </c>
      <c r="E2" s="3" t="n">
        <v>0.0001</v>
      </c>
      <c r="F2" s="4" t="b">
        <f aca="false">TRUE()</f>
        <v>1</v>
      </c>
      <c r="G2" s="4" t="b">
        <f aca="false">TRUE()</f>
        <v>1</v>
      </c>
      <c r="H2" s="3" t="n">
        <v>0.8504</v>
      </c>
      <c r="I2" s="3" t="n">
        <v>0.243</v>
      </c>
      <c r="J2" s="3" t="n">
        <v>0.2065</v>
      </c>
      <c r="K2" s="3" t="n">
        <v>0.2429</v>
      </c>
    </row>
    <row r="3" customFormat="false" ht="15" hidden="false" customHeight="false" outlineLevel="0" collapsed="false">
      <c r="A3" s="5" t="s">
        <v>13</v>
      </c>
      <c r="B3" s="5" t="s">
        <v>12</v>
      </c>
      <c r="C3" s="5" t="n">
        <v>1138.886</v>
      </c>
      <c r="D3" s="5" t="n">
        <v>0.0001</v>
      </c>
      <c r="E3" s="5" t="n">
        <v>0.0001</v>
      </c>
      <c r="F3" s="6" t="b">
        <f aca="false">TRUE()</f>
        <v>1</v>
      </c>
      <c r="G3" s="6" t="b">
        <f aca="false">TRUE()</f>
        <v>1</v>
      </c>
      <c r="H3" s="5" t="n">
        <v>0.8092</v>
      </c>
      <c r="I3" s="5" t="n">
        <v>0.2113</v>
      </c>
      <c r="J3" s="5" t="n">
        <v>0.1763</v>
      </c>
      <c r="K3" s="5" t="n">
        <v>0.2179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n">
        <v>900</v>
      </c>
      <c r="D4" s="3" t="n">
        <v>0.0001</v>
      </c>
      <c r="E4" s="3" t="n">
        <v>0.0001</v>
      </c>
      <c r="F4" s="4" t="b">
        <f aca="false">TRUE()</f>
        <v>1</v>
      </c>
      <c r="G4" s="4" t="b">
        <f aca="false">TRUE()</f>
        <v>1</v>
      </c>
      <c r="H4" s="3" t="n">
        <v>0.7049</v>
      </c>
      <c r="I4" s="3" t="n">
        <v>0.1021</v>
      </c>
      <c r="J4" s="3" t="n">
        <v>0.1184</v>
      </c>
      <c r="K4" s="3" t="n">
        <v>0.1449</v>
      </c>
    </row>
    <row r="5" customFormat="false" ht="15" hidden="false" customHeight="false" outlineLevel="0" collapsed="false">
      <c r="A5" s="5" t="s">
        <v>16</v>
      </c>
      <c r="B5" s="5" t="s">
        <v>17</v>
      </c>
      <c r="C5" s="5" t="n">
        <v>644.213</v>
      </c>
      <c r="D5" s="5" t="n">
        <v>0.0001</v>
      </c>
      <c r="E5" s="5" t="n">
        <v>0.0001</v>
      </c>
      <c r="F5" s="6" t="b">
        <f aca="false">TRUE()</f>
        <v>1</v>
      </c>
      <c r="G5" s="6" t="b">
        <f aca="false">TRUE()</f>
        <v>1</v>
      </c>
      <c r="H5" s="5" t="n">
        <v>0.6855</v>
      </c>
      <c r="I5" s="5" t="n">
        <v>0.2113</v>
      </c>
      <c r="J5" s="5" t="n">
        <v>0.1637</v>
      </c>
      <c r="K5" s="5" t="n">
        <v>0.2388</v>
      </c>
    </row>
    <row r="6" customFormat="false" ht="15" hidden="false" customHeight="false" outlineLevel="0" collapsed="false">
      <c r="A6" s="3" t="s">
        <v>18</v>
      </c>
      <c r="B6" s="3" t="s">
        <v>19</v>
      </c>
      <c r="C6" s="3" t="n">
        <v>597.042</v>
      </c>
      <c r="D6" s="3" t="n">
        <v>0.0001</v>
      </c>
      <c r="E6" s="3" t="n">
        <v>0.0001</v>
      </c>
      <c r="F6" s="4" t="b">
        <f aca="false">TRUE()</f>
        <v>1</v>
      </c>
      <c r="G6" s="4" t="b">
        <f aca="false">TRUE()</f>
        <v>1</v>
      </c>
      <c r="H6" s="3" t="n">
        <v>0.7501</v>
      </c>
      <c r="I6" s="3" t="n">
        <v>0.243</v>
      </c>
      <c r="J6" s="3" t="n">
        <v>0.2947</v>
      </c>
      <c r="K6" s="3" t="n">
        <v>0.3239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n">
        <v>571.651</v>
      </c>
      <c r="D7" s="5" t="n">
        <v>0.0001</v>
      </c>
      <c r="E7" s="5" t="n">
        <v>0.0001</v>
      </c>
      <c r="F7" s="6" t="b">
        <f aca="false">TRUE()</f>
        <v>1</v>
      </c>
      <c r="G7" s="6" t="b">
        <f aca="false">TRUE()</f>
        <v>1</v>
      </c>
      <c r="H7" s="5" t="n">
        <v>0.597</v>
      </c>
      <c r="I7" s="5" t="n">
        <v>0.1303</v>
      </c>
      <c r="J7" s="5" t="n">
        <v>0.0957</v>
      </c>
      <c r="K7" s="5" t="n">
        <v>0.1603</v>
      </c>
    </row>
    <row r="8" customFormat="false" ht="15" hidden="false" customHeight="false" outlineLevel="0" collapsed="false">
      <c r="A8" s="3" t="s">
        <v>22</v>
      </c>
      <c r="B8" s="3" t="s">
        <v>21</v>
      </c>
      <c r="C8" s="3" t="n">
        <v>548.991</v>
      </c>
      <c r="D8" s="3" t="n">
        <v>0.0001</v>
      </c>
      <c r="E8" s="3" t="n">
        <v>0.0001</v>
      </c>
      <c r="F8" s="4" t="b">
        <f aca="false">TRUE()</f>
        <v>1</v>
      </c>
      <c r="G8" s="4" t="b">
        <f aca="false">TRUE()</f>
        <v>1</v>
      </c>
      <c r="H8" s="3" t="n">
        <v>0.5895</v>
      </c>
      <c r="I8" s="3" t="n">
        <v>0.1303</v>
      </c>
      <c r="J8" s="3" t="n">
        <v>0.0982</v>
      </c>
      <c r="K8" s="3" t="n">
        <v>0.1666</v>
      </c>
    </row>
    <row r="9" customFormat="false" ht="15" hidden="false" customHeight="false" outlineLevel="0" collapsed="false">
      <c r="A9" s="5" t="s">
        <v>23</v>
      </c>
      <c r="B9" s="5" t="s">
        <v>24</v>
      </c>
      <c r="C9" s="5" t="n">
        <v>518.179</v>
      </c>
      <c r="D9" s="5" t="n">
        <v>0.0001</v>
      </c>
      <c r="E9" s="5" t="n">
        <v>0.0001</v>
      </c>
      <c r="F9" s="6" t="b">
        <f aca="false">TRUE()</f>
        <v>1</v>
      </c>
      <c r="G9" s="6" t="b">
        <f aca="false">TRUE()</f>
        <v>1</v>
      </c>
      <c r="H9" s="5" t="n">
        <v>0.634</v>
      </c>
      <c r="I9" s="5" t="n">
        <v>0.1549</v>
      </c>
      <c r="J9" s="5" t="n">
        <v>0.1411</v>
      </c>
      <c r="K9" s="5" t="n">
        <v>0.2225</v>
      </c>
    </row>
    <row r="10" customFormat="false" ht="15" hidden="false" customHeight="false" outlineLevel="0" collapsed="false">
      <c r="A10" s="3" t="s">
        <v>25</v>
      </c>
      <c r="B10" s="3" t="s">
        <v>24</v>
      </c>
      <c r="C10" s="3" t="n">
        <v>516.223</v>
      </c>
      <c r="D10" s="3" t="n">
        <v>0.0001</v>
      </c>
      <c r="E10" s="3" t="n">
        <v>0.0001</v>
      </c>
      <c r="F10" s="4" t="b">
        <f aca="false">TRUE()</f>
        <v>1</v>
      </c>
      <c r="G10" s="4" t="b">
        <f aca="false">TRUE()</f>
        <v>1</v>
      </c>
      <c r="H10" s="3" t="n">
        <v>0.6322</v>
      </c>
      <c r="I10" s="3" t="n">
        <v>0.1514</v>
      </c>
      <c r="J10" s="3" t="n">
        <v>0.1411</v>
      </c>
      <c r="K10" s="3" t="n">
        <v>0.2231</v>
      </c>
    </row>
    <row r="11" customFormat="false" ht="15" hidden="false" customHeight="false" outlineLevel="0" collapsed="false">
      <c r="A11" s="5" t="s">
        <v>26</v>
      </c>
      <c r="B11" s="5" t="s">
        <v>27</v>
      </c>
      <c r="C11" s="5" t="n">
        <v>487.697</v>
      </c>
      <c r="D11" s="5" t="n">
        <v>0.0001</v>
      </c>
      <c r="E11" s="5" t="n">
        <v>0.0001</v>
      </c>
      <c r="F11" s="6" t="b">
        <f aca="false">TRUE()</f>
        <v>1</v>
      </c>
      <c r="G11" s="6" t="b">
        <f aca="false">TRUE()</f>
        <v>1</v>
      </c>
      <c r="H11" s="5" t="n">
        <v>0.5417</v>
      </c>
      <c r="I11" s="5" t="n">
        <v>0.1021</v>
      </c>
      <c r="J11" s="5" t="n">
        <v>0.0781</v>
      </c>
      <c r="K11" s="5" t="n">
        <v>0.1441</v>
      </c>
    </row>
    <row r="12" customFormat="false" ht="15" hidden="false" customHeight="false" outlineLevel="0" collapsed="false">
      <c r="A12" s="3" t="s">
        <v>28</v>
      </c>
      <c r="B12" s="3" t="s">
        <v>29</v>
      </c>
      <c r="C12" s="3" t="n">
        <v>456.966</v>
      </c>
      <c r="D12" s="3" t="n">
        <v>0.0001</v>
      </c>
      <c r="E12" s="3" t="n">
        <v>0.0001</v>
      </c>
      <c r="F12" s="4" t="b">
        <f aca="false">TRUE()</f>
        <v>1</v>
      </c>
      <c r="G12" s="4" t="b">
        <f aca="false">TRUE()</f>
        <v>1</v>
      </c>
      <c r="H12" s="3" t="n">
        <v>0.5804</v>
      </c>
      <c r="I12" s="3" t="n">
        <v>0.1021</v>
      </c>
      <c r="J12" s="3" t="n">
        <v>0.1335</v>
      </c>
      <c r="K12" s="3" t="n">
        <v>0.1759</v>
      </c>
    </row>
    <row r="13" customFormat="false" ht="15" hidden="false" customHeight="false" outlineLevel="0" collapsed="false">
      <c r="A13" s="5" t="s">
        <v>30</v>
      </c>
      <c r="B13" s="5" t="s">
        <v>24</v>
      </c>
      <c r="C13" s="5" t="n">
        <v>375.042</v>
      </c>
      <c r="D13" s="5" t="n">
        <v>0.0001</v>
      </c>
      <c r="E13" s="5" t="n">
        <v>0.0001</v>
      </c>
      <c r="F13" s="6" t="b">
        <f aca="false">TRUE()</f>
        <v>1</v>
      </c>
      <c r="G13" s="6" t="b">
        <f aca="false">TRUE()</f>
        <v>1</v>
      </c>
      <c r="H13" s="5" t="n">
        <v>0.5531</v>
      </c>
      <c r="I13" s="5" t="n">
        <v>0.1444</v>
      </c>
      <c r="J13" s="5" t="n">
        <v>0.1335</v>
      </c>
      <c r="K13" s="5" t="n">
        <v>0.2414</v>
      </c>
    </row>
    <row r="14" customFormat="false" ht="15" hidden="false" customHeight="false" outlineLevel="0" collapsed="false">
      <c r="A14" s="3" t="s">
        <v>31</v>
      </c>
      <c r="B14" s="3" t="s">
        <v>32</v>
      </c>
      <c r="C14" s="3" t="n">
        <v>311.128</v>
      </c>
      <c r="D14" s="3" t="n">
        <v>0.0001</v>
      </c>
      <c r="E14" s="3" t="n">
        <v>0.0001</v>
      </c>
      <c r="F14" s="4" t="b">
        <f aca="false">TRUE()</f>
        <v>1</v>
      </c>
      <c r="G14" s="4" t="b">
        <f aca="false">TRUE()</f>
        <v>1</v>
      </c>
      <c r="H14" s="3" t="n">
        <v>0.4333</v>
      </c>
      <c r="I14" s="3" t="n">
        <v>0.0915</v>
      </c>
      <c r="J14" s="3" t="n">
        <v>0.0453</v>
      </c>
      <c r="K14" s="3" t="n">
        <v>0.1046</v>
      </c>
    </row>
    <row r="15" customFormat="false" ht="15" hidden="false" customHeight="false" outlineLevel="0" collapsed="false">
      <c r="A15" s="5" t="s">
        <v>33</v>
      </c>
      <c r="B15" s="5" t="s">
        <v>34</v>
      </c>
      <c r="C15" s="5" t="n">
        <v>205.203</v>
      </c>
      <c r="D15" s="5" t="n">
        <v>0.0001</v>
      </c>
      <c r="E15" s="5" t="n">
        <v>0.0001</v>
      </c>
      <c r="F15" s="6" t="b">
        <f aca="false">TRUE()</f>
        <v>1</v>
      </c>
      <c r="G15" s="6" t="b">
        <f aca="false">TRUE()</f>
        <v>1</v>
      </c>
      <c r="H15" s="5" t="n">
        <v>0.3107</v>
      </c>
      <c r="I15" s="5" t="n">
        <v>0.0317</v>
      </c>
      <c r="J15" s="5" t="n">
        <v>0.0605</v>
      </c>
      <c r="K15" s="5" t="n">
        <v>0.102</v>
      </c>
    </row>
    <row r="16" customFormat="false" ht="15" hidden="false" customHeight="false" outlineLevel="0" collapsed="false">
      <c r="A16" s="3" t="s">
        <v>35</v>
      </c>
      <c r="B16" s="3" t="s">
        <v>36</v>
      </c>
      <c r="C16" s="3" t="n">
        <v>186.957</v>
      </c>
      <c r="D16" s="3" t="n">
        <v>0.0001</v>
      </c>
      <c r="E16" s="3" t="n">
        <v>0.0001</v>
      </c>
      <c r="F16" s="4" t="b">
        <f aca="false">TRUE()</f>
        <v>1</v>
      </c>
      <c r="G16" s="4" t="b">
        <f aca="false">TRUE()</f>
        <v>1</v>
      </c>
      <c r="H16" s="3" t="n">
        <v>0.3684</v>
      </c>
      <c r="I16" s="3" t="n">
        <v>0.088</v>
      </c>
      <c r="J16" s="3" t="n">
        <v>0.0982</v>
      </c>
      <c r="K16" s="3" t="n">
        <v>0.2389</v>
      </c>
    </row>
    <row r="17" customFormat="false" ht="15" hidden="false" customHeight="false" outlineLevel="0" collapsed="false">
      <c r="A17" s="5" t="s">
        <v>37</v>
      </c>
      <c r="B17" s="5" t="s">
        <v>38</v>
      </c>
      <c r="C17" s="5" t="n">
        <v>163.132</v>
      </c>
      <c r="D17" s="5" t="n">
        <v>0.0001</v>
      </c>
      <c r="E17" s="5" t="n">
        <v>0.0001</v>
      </c>
      <c r="F17" s="6" t="b">
        <f aca="false">TRUE()</f>
        <v>1</v>
      </c>
      <c r="G17" s="6" t="b">
        <f aca="false">TRUE()</f>
        <v>1</v>
      </c>
      <c r="H17" s="5" t="n">
        <v>0.9303</v>
      </c>
      <c r="I17" s="5" t="n">
        <v>0.757</v>
      </c>
      <c r="J17" s="5" t="n">
        <v>0.7985</v>
      </c>
      <c r="K17" s="5" t="n">
        <v>0.8137</v>
      </c>
    </row>
    <row r="18" customFormat="false" ht="15" hidden="false" customHeight="false" outlineLevel="0" collapsed="false">
      <c r="A18" s="3" t="s">
        <v>39</v>
      </c>
      <c r="B18" s="3" t="s">
        <v>24</v>
      </c>
      <c r="C18" s="3" t="n">
        <v>160.785</v>
      </c>
      <c r="D18" s="3" t="n">
        <v>0.0001</v>
      </c>
      <c r="E18" s="3" t="n">
        <v>0.0001</v>
      </c>
      <c r="F18" s="4" t="b">
        <f aca="false">TRUE()</f>
        <v>1</v>
      </c>
      <c r="G18" s="4" t="b">
        <f aca="false">TRUE()</f>
        <v>1</v>
      </c>
      <c r="H18" s="3" t="n">
        <v>0.35</v>
      </c>
      <c r="I18" s="3" t="n">
        <v>0.0986</v>
      </c>
      <c r="J18" s="3" t="n">
        <v>0.0932</v>
      </c>
      <c r="K18" s="3" t="n">
        <v>0.2663</v>
      </c>
    </row>
    <row r="19" customFormat="false" ht="15" hidden="false" customHeight="false" outlineLevel="0" collapsed="false">
      <c r="A19" s="5" t="s">
        <v>40</v>
      </c>
      <c r="B19" s="5" t="s">
        <v>24</v>
      </c>
      <c r="C19" s="5" t="n">
        <v>156.936</v>
      </c>
      <c r="D19" s="5" t="n">
        <v>0.0001</v>
      </c>
      <c r="E19" s="5" t="n">
        <v>0.0001</v>
      </c>
      <c r="F19" s="6" t="b">
        <f aca="false">TRUE()</f>
        <v>1</v>
      </c>
      <c r="G19" s="6" t="b">
        <f aca="false">TRUE()</f>
        <v>1</v>
      </c>
      <c r="H19" s="5" t="n">
        <v>0.278</v>
      </c>
      <c r="I19" s="5" t="n">
        <v>0.1197</v>
      </c>
      <c r="J19" s="5" t="n">
        <v>0.0202</v>
      </c>
      <c r="K19" s="5" t="n">
        <v>0.0725</v>
      </c>
    </row>
    <row r="20" customFormat="false" ht="15" hidden="false" customHeight="false" outlineLevel="0" collapsed="false">
      <c r="A20" s="3" t="s">
        <v>41</v>
      </c>
      <c r="B20" s="3" t="s">
        <v>42</v>
      </c>
      <c r="C20" s="3" t="n">
        <v>143.563</v>
      </c>
      <c r="D20" s="3" t="n">
        <v>0.0001</v>
      </c>
      <c r="E20" s="3" t="n">
        <v>0.0001</v>
      </c>
      <c r="F20" s="4" t="b">
        <f aca="false">TRUE()</f>
        <v>1</v>
      </c>
      <c r="G20" s="4" t="b">
        <f aca="false">TRUE()</f>
        <v>1</v>
      </c>
      <c r="H20" s="3" t="n">
        <v>0.2271</v>
      </c>
      <c r="I20" s="3" t="n">
        <v>0.0528</v>
      </c>
      <c r="J20" s="3" t="n">
        <v>0.0101</v>
      </c>
      <c r="K20" s="3" t="n">
        <v>0.0444</v>
      </c>
    </row>
    <row r="21" customFormat="false" ht="15" hidden="false" customHeight="false" outlineLevel="0" collapsed="false">
      <c r="A21" s="5" t="s">
        <v>43</v>
      </c>
      <c r="B21" s="5" t="s">
        <v>44</v>
      </c>
      <c r="C21" s="5" t="n">
        <v>139.264</v>
      </c>
      <c r="D21" s="5" t="n">
        <v>0.0001</v>
      </c>
      <c r="E21" s="5" t="n">
        <v>0.0001</v>
      </c>
      <c r="F21" s="6" t="b">
        <f aca="false">TRUE()</f>
        <v>1</v>
      </c>
      <c r="G21" s="6" t="b">
        <f aca="false">TRUE()</f>
        <v>1</v>
      </c>
      <c r="H21" s="5" t="n">
        <v>0.0005</v>
      </c>
      <c r="I21" s="5" t="n">
        <v>0</v>
      </c>
      <c r="J21" s="5" t="n">
        <v>0.0277</v>
      </c>
      <c r="K21" s="5" t="n">
        <v>0</v>
      </c>
    </row>
    <row r="22" customFormat="false" ht="15" hidden="false" customHeight="false" outlineLevel="0" collapsed="false">
      <c r="A22" s="3" t="s">
        <v>45</v>
      </c>
      <c r="B22" s="3" t="s">
        <v>24</v>
      </c>
      <c r="C22" s="3" t="n">
        <v>68.746</v>
      </c>
      <c r="D22" s="3" t="n">
        <v>0.0001</v>
      </c>
      <c r="E22" s="3" t="n">
        <v>0.0001</v>
      </c>
      <c r="F22" s="4" t="b">
        <f aca="false">TRUE()</f>
        <v>1</v>
      </c>
      <c r="G22" s="4" t="b">
        <f aca="false">TRUE()</f>
        <v>1</v>
      </c>
      <c r="H22" s="3" t="n">
        <v>0.2222</v>
      </c>
      <c r="I22" s="3" t="n">
        <v>0.081</v>
      </c>
      <c r="J22" s="3" t="n">
        <v>0.073</v>
      </c>
      <c r="K22" s="3" t="n">
        <v>0.3288</v>
      </c>
    </row>
    <row r="23" customFormat="false" ht="15" hidden="false" customHeight="false" outlineLevel="0" collapsed="false">
      <c r="A23" s="5" t="s">
        <v>46</v>
      </c>
      <c r="B23" s="5" t="s">
        <v>47</v>
      </c>
      <c r="C23" s="5" t="n">
        <v>25.123</v>
      </c>
      <c r="D23" s="5" t="n">
        <v>0.0001</v>
      </c>
      <c r="E23" s="5" t="n">
        <v>0.0001</v>
      </c>
      <c r="F23" s="6" t="b">
        <f aca="false">TRUE()</f>
        <v>1</v>
      </c>
      <c r="G23" s="6" t="b">
        <f aca="false">TRUE()</f>
        <v>1</v>
      </c>
      <c r="H23" s="5" t="n">
        <v>0.047</v>
      </c>
      <c r="I23" s="5" t="n">
        <v>0.0176</v>
      </c>
      <c r="J23" s="5" t="n">
        <v>0.0025</v>
      </c>
      <c r="K23" s="5" t="n">
        <v>0.0536</v>
      </c>
    </row>
    <row r="24" customFormat="false" ht="15" hidden="false" customHeight="false" outlineLevel="0" collapsed="false">
      <c r="A24" s="3" t="s">
        <v>48</v>
      </c>
      <c r="B24" s="3" t="s">
        <v>49</v>
      </c>
      <c r="C24" s="3" t="n">
        <v>20.698</v>
      </c>
      <c r="D24" s="3" t="n">
        <v>0.0001</v>
      </c>
      <c r="E24" s="3" t="n">
        <v>0.0001</v>
      </c>
      <c r="F24" s="4" t="b">
        <f aca="false">TRUE()</f>
        <v>1</v>
      </c>
      <c r="G24" s="4" t="b">
        <f aca="false">TRUE()</f>
        <v>1</v>
      </c>
      <c r="H24" s="3" t="n">
        <v>0.0462</v>
      </c>
      <c r="I24" s="3" t="n">
        <v>0.0211</v>
      </c>
      <c r="J24" s="3" t="n">
        <v>0.0101</v>
      </c>
      <c r="K24" s="3" t="n">
        <v>0.2179</v>
      </c>
    </row>
    <row r="25" customFormat="false" ht="15" hidden="false" customHeight="false" outlineLevel="0" collapsed="false">
      <c r="A25" s="5" t="s">
        <v>50</v>
      </c>
      <c r="B25" s="5" t="s">
        <v>24</v>
      </c>
      <c r="C25" s="5" t="n">
        <v>18.909</v>
      </c>
      <c r="D25" s="5" t="n">
        <v>0.0001</v>
      </c>
      <c r="E25" s="5" t="n">
        <v>0.000134</v>
      </c>
      <c r="F25" s="6" t="b">
        <f aca="false">TRUE()</f>
        <v>1</v>
      </c>
      <c r="G25" s="6" t="b">
        <f aca="false">TRUE()</f>
        <v>1</v>
      </c>
      <c r="H25" s="5" t="n">
        <v>0.0524</v>
      </c>
      <c r="I25" s="5" t="n">
        <v>0.0106</v>
      </c>
      <c r="J25" s="5" t="n">
        <v>0.0227</v>
      </c>
      <c r="K25" s="5" t="n">
        <v>0.2015</v>
      </c>
    </row>
    <row r="26" customFormat="false" ht="15" hidden="false" customHeight="false" outlineLevel="0" collapsed="false">
      <c r="A26" s="3" t="s">
        <v>51</v>
      </c>
      <c r="B26" s="3" t="s">
        <v>52</v>
      </c>
      <c r="C26" s="3" t="n">
        <v>11.55</v>
      </c>
      <c r="D26" s="3" t="n">
        <v>0.003104</v>
      </c>
      <c r="E26" s="3" t="n">
        <v>0.005091</v>
      </c>
      <c r="F26" s="4" t="b">
        <f aca="false">TRUE()</f>
        <v>1</v>
      </c>
      <c r="G26" s="4" t="b">
        <f aca="false">TRUE()</f>
        <v>1</v>
      </c>
      <c r="H26" s="3" t="n">
        <v>0.0014</v>
      </c>
      <c r="I26" s="3" t="n">
        <v>0.0106</v>
      </c>
      <c r="J26" s="3" t="n">
        <v>0</v>
      </c>
      <c r="K26" s="3" t="n">
        <v>0</v>
      </c>
    </row>
    <row r="27" customFormat="false" ht="15" hidden="false" customHeight="false" outlineLevel="0" collapsed="false">
      <c r="A27" s="5" t="s">
        <v>53</v>
      </c>
      <c r="B27" s="5" t="s">
        <v>54</v>
      </c>
      <c r="C27" s="5" t="n">
        <v>11.021</v>
      </c>
      <c r="D27" s="5" t="n">
        <v>0.004043</v>
      </c>
      <c r="E27" s="5" t="n">
        <v>0.006376</v>
      </c>
      <c r="F27" s="6" t="b">
        <f aca="false">TRUE()</f>
        <v>1</v>
      </c>
      <c r="G27" s="6" t="b">
        <f aca="false">TRUE()</f>
        <v>1</v>
      </c>
      <c r="H27" s="5" t="n">
        <v>0.029</v>
      </c>
      <c r="I27" s="5" t="n">
        <v>0.0035</v>
      </c>
      <c r="J27" s="5" t="n">
        <v>0.0076</v>
      </c>
      <c r="K27" s="5" t="n">
        <v>0.1214</v>
      </c>
    </row>
    <row r="28" customFormat="false" ht="15" hidden="false" customHeight="false" outlineLevel="0" collapsed="false">
      <c r="A28" s="3" t="s">
        <v>55</v>
      </c>
      <c r="B28" s="3" t="s">
        <v>56</v>
      </c>
      <c r="C28" s="3" t="n">
        <v>5.869</v>
      </c>
      <c r="D28" s="3" t="n">
        <v>0.053144</v>
      </c>
      <c r="E28" s="3" t="n">
        <v>0.0807</v>
      </c>
      <c r="F28" s="4" t="b">
        <f aca="false">FALSE()</f>
        <v>0</v>
      </c>
      <c r="G28" s="4" t="b">
        <f aca="false">FALSE()</f>
        <v>0</v>
      </c>
      <c r="H28" s="3" t="n">
        <v>0.0127</v>
      </c>
      <c r="I28" s="3" t="n">
        <v>0.0106</v>
      </c>
      <c r="J28" s="3" t="n">
        <v>0</v>
      </c>
      <c r="K28" s="3" t="n">
        <v>0</v>
      </c>
    </row>
    <row r="29" customFormat="false" ht="15" hidden="false" customHeight="false" outlineLevel="0" collapsed="false">
      <c r="A29" s="5" t="s">
        <v>57</v>
      </c>
      <c r="B29" s="5" t="s">
        <v>58</v>
      </c>
      <c r="C29" s="5" t="n">
        <v>5.486</v>
      </c>
      <c r="D29" s="5" t="n">
        <v>0.064388</v>
      </c>
      <c r="E29" s="5" t="n">
        <v>0.094282</v>
      </c>
      <c r="F29" s="6" t="b">
        <f aca="false">FALSE()</f>
        <v>0</v>
      </c>
      <c r="G29" s="6" t="b">
        <f aca="false">FALSE()</f>
        <v>0</v>
      </c>
      <c r="H29" s="5" t="n">
        <v>0.0005</v>
      </c>
      <c r="I29" s="5" t="n">
        <v>0.0035</v>
      </c>
      <c r="J29" s="5" t="n">
        <v>0.0025</v>
      </c>
      <c r="K29" s="5" t="n">
        <v>0.1322</v>
      </c>
    </row>
    <row r="30" customFormat="false" ht="15" hidden="false" customHeight="false" outlineLevel="0" collapsed="false">
      <c r="A30" s="3" t="s">
        <v>59</v>
      </c>
      <c r="B30" s="3" t="s">
        <v>60</v>
      </c>
      <c r="C30" s="3" t="n">
        <v>4.884</v>
      </c>
      <c r="D30" s="3" t="n">
        <v>0.08697</v>
      </c>
      <c r="E30" s="3" t="n">
        <v>0.122958</v>
      </c>
      <c r="F30" s="4" t="b">
        <f aca="false">FALSE()</f>
        <v>0</v>
      </c>
      <c r="G30" s="4" t="b">
        <f aca="false">FALSE()</f>
        <v>0</v>
      </c>
      <c r="H30" s="3" t="n">
        <v>0.0191</v>
      </c>
      <c r="I30" s="3" t="n">
        <v>0.0176</v>
      </c>
      <c r="J30" s="3" t="n">
        <v>0.0076</v>
      </c>
      <c r="K30" s="3" t="n">
        <v>0.396</v>
      </c>
    </row>
    <row r="31" customFormat="false" ht="15" hidden="false" customHeight="false" outlineLevel="0" collapsed="false">
      <c r="A31" s="5" t="s">
        <v>61</v>
      </c>
      <c r="B31" s="5" t="s">
        <v>62</v>
      </c>
      <c r="C31" s="5" t="n">
        <v>3.767</v>
      </c>
      <c r="D31" s="5" t="n">
        <v>0.152068</v>
      </c>
      <c r="E31" s="5" t="n">
        <v>0.207826</v>
      </c>
      <c r="F31" s="6" t="b">
        <f aca="false">FALSE()</f>
        <v>0</v>
      </c>
      <c r="G31" s="6" t="b">
        <f aca="false">FALSE()</f>
        <v>0</v>
      </c>
      <c r="H31" s="5" t="n">
        <v>0.0506</v>
      </c>
      <c r="I31" s="5" t="n">
        <v>0.0563</v>
      </c>
      <c r="J31" s="5" t="n">
        <v>0.0176</v>
      </c>
      <c r="K31" s="5" t="n">
        <v>0.313</v>
      </c>
    </row>
    <row r="32" customFormat="false" ht="15" hidden="false" customHeight="false" outlineLevel="0" collapsed="false">
      <c r="A32" s="3" t="s">
        <v>63</v>
      </c>
      <c r="B32" s="3" t="s">
        <v>64</v>
      </c>
      <c r="C32" s="3" t="n">
        <v>2.695</v>
      </c>
      <c r="D32" s="3" t="n">
        <v>0.259884</v>
      </c>
      <c r="E32" s="3" t="n">
        <v>0.343718</v>
      </c>
      <c r="F32" s="4" t="b">
        <f aca="false">FALSE()</f>
        <v>0</v>
      </c>
      <c r="G32" s="4" t="b">
        <f aca="false">FALSE()</f>
        <v>0</v>
      </c>
      <c r="H32" s="3" t="n">
        <v>0.0039</v>
      </c>
      <c r="I32" s="3" t="n">
        <v>0</v>
      </c>
      <c r="J32" s="3" t="n">
        <v>0</v>
      </c>
      <c r="K32" s="3" t="n">
        <v>0</v>
      </c>
    </row>
    <row r="33" customFormat="false" ht="15" hidden="false" customHeight="false" outlineLevel="0" collapsed="false">
      <c r="A33" s="5" t="s">
        <v>65</v>
      </c>
      <c r="B33" s="5" t="s">
        <v>66</v>
      </c>
      <c r="C33" s="5" t="n">
        <v>2.565</v>
      </c>
      <c r="D33" s="5" t="n">
        <v>0.277352</v>
      </c>
      <c r="E33" s="5" t="n">
        <v>0.355357</v>
      </c>
      <c r="F33" s="6" t="b">
        <f aca="false">FALSE()</f>
        <v>0</v>
      </c>
      <c r="G33" s="6" t="b">
        <f aca="false">FALSE()</f>
        <v>0</v>
      </c>
      <c r="H33" s="5" t="n">
        <v>0.0059</v>
      </c>
      <c r="I33" s="5" t="n">
        <v>0</v>
      </c>
      <c r="J33" s="5" t="n">
        <v>0.0025</v>
      </c>
      <c r="K33" s="5" t="n">
        <v>0</v>
      </c>
    </row>
    <row r="34" customFormat="false" ht="15" hidden="false" customHeight="false" outlineLevel="0" collapsed="false">
      <c r="A34" s="3" t="s">
        <v>67</v>
      </c>
      <c r="B34" s="3" t="s">
        <v>68</v>
      </c>
      <c r="C34" s="3" t="n">
        <v>2.203</v>
      </c>
      <c r="D34" s="3" t="n">
        <v>0.332356</v>
      </c>
      <c r="E34" s="3" t="n">
        <v>0.412928</v>
      </c>
      <c r="F34" s="4" t="b">
        <f aca="false">FALSE()</f>
        <v>0</v>
      </c>
      <c r="G34" s="4" t="b">
        <f aca="false">FALSE()</f>
        <v>0</v>
      </c>
      <c r="H34" s="3" t="n">
        <v>0.0479</v>
      </c>
      <c r="I34" s="3" t="n">
        <v>0.0352</v>
      </c>
      <c r="J34" s="3" t="n">
        <v>0.0227</v>
      </c>
      <c r="K34" s="3" t="n">
        <v>0.4729</v>
      </c>
    </row>
    <row r="35" customFormat="false" ht="15" hidden="false" customHeight="false" outlineLevel="0" collapsed="false">
      <c r="A35" s="5" t="s">
        <v>69</v>
      </c>
      <c r="B35" s="5" t="s">
        <v>68</v>
      </c>
      <c r="C35" s="5" t="n">
        <v>1.81</v>
      </c>
      <c r="D35" s="5" t="n">
        <v>0.404481</v>
      </c>
      <c r="E35" s="5" t="n">
        <v>0.487756</v>
      </c>
      <c r="F35" s="6" t="b">
        <f aca="false">FALSE()</f>
        <v>0</v>
      </c>
      <c r="G35" s="6" t="b">
        <f aca="false">FALSE()</f>
        <v>0</v>
      </c>
      <c r="H35" s="5" t="n">
        <v>0.0492</v>
      </c>
      <c r="I35" s="5" t="n">
        <v>0.0387</v>
      </c>
      <c r="J35" s="5" t="n">
        <v>0.0227</v>
      </c>
      <c r="K35" s="5" t="n">
        <v>0.461</v>
      </c>
    </row>
    <row r="36" customFormat="false" ht="15" hidden="false" customHeight="false" outlineLevel="0" collapsed="false">
      <c r="A36" s="3" t="s">
        <v>70</v>
      </c>
      <c r="B36" s="3" t="s">
        <v>54</v>
      </c>
      <c r="C36" s="3" t="n">
        <v>1.323</v>
      </c>
      <c r="D36" s="3" t="n">
        <v>0.515976</v>
      </c>
      <c r="E36" s="3" t="n">
        <v>0.604429</v>
      </c>
      <c r="F36" s="4" t="b">
        <f aca="false">FALSE()</f>
        <v>0</v>
      </c>
      <c r="G36" s="4" t="b">
        <f aca="false">FALSE()</f>
        <v>0</v>
      </c>
      <c r="H36" s="3" t="n">
        <v>0.0042</v>
      </c>
      <c r="I36" s="3" t="n">
        <v>0</v>
      </c>
      <c r="J36" s="3" t="n">
        <v>0.005</v>
      </c>
      <c r="K36" s="3" t="n">
        <v>0</v>
      </c>
    </row>
    <row r="37" customFormat="false" ht="15" hidden="false" customHeight="false" outlineLevel="0" collapsed="false">
      <c r="A37" s="5" t="s">
        <v>71</v>
      </c>
      <c r="B37" s="5" t="s">
        <v>54</v>
      </c>
      <c r="C37" s="5" t="n">
        <v>0.86</v>
      </c>
      <c r="D37" s="5" t="n">
        <v>0.650364</v>
      </c>
      <c r="E37" s="5" t="n">
        <v>0.740692</v>
      </c>
      <c r="F37" s="6" t="b">
        <f aca="false">FALSE()</f>
        <v>0</v>
      </c>
      <c r="G37" s="6" t="b">
        <f aca="false">FALSE()</f>
        <v>0</v>
      </c>
      <c r="H37" s="5" t="n">
        <v>0.0012</v>
      </c>
      <c r="I37" s="5" t="n">
        <v>0</v>
      </c>
      <c r="J37" s="5" t="n">
        <v>0</v>
      </c>
      <c r="K37" s="5" t="n">
        <v>0</v>
      </c>
    </row>
    <row r="38" customFormat="false" ht="15" hidden="false" customHeight="false" outlineLevel="0" collapsed="false">
      <c r="A38" s="3" t="s">
        <v>72</v>
      </c>
      <c r="B38" s="3" t="s">
        <v>49</v>
      </c>
      <c r="C38" s="3" t="n">
        <v>0.753</v>
      </c>
      <c r="D38" s="3" t="n">
        <v>0.686331</v>
      </c>
      <c r="E38" s="3" t="n">
        <v>0.760529</v>
      </c>
      <c r="F38" s="4" t="b">
        <f aca="false">FALSE()</f>
        <v>0</v>
      </c>
      <c r="G38" s="4" t="b">
        <f aca="false">FALSE()</f>
        <v>0</v>
      </c>
      <c r="H38" s="3" t="n">
        <v>0.0011</v>
      </c>
      <c r="I38" s="3" t="n">
        <v>0</v>
      </c>
      <c r="J38" s="3" t="n">
        <v>0</v>
      </c>
      <c r="K38" s="3" t="n">
        <v>0</v>
      </c>
    </row>
    <row r="39" customFormat="false" ht="15" hidden="false" customHeight="false" outlineLevel="0" collapsed="false">
      <c r="A39" s="5" t="s">
        <v>73</v>
      </c>
      <c r="B39" s="5" t="s">
        <v>74</v>
      </c>
      <c r="C39" s="5" t="n">
        <v>0.538</v>
      </c>
      <c r="D39" s="5" t="n">
        <v>0.76431</v>
      </c>
      <c r="E39" s="5" t="n">
        <v>0.82465</v>
      </c>
      <c r="F39" s="6" t="b">
        <f aca="false">FALSE()</f>
        <v>0</v>
      </c>
      <c r="G39" s="6" t="b">
        <f aca="false">FALSE()</f>
        <v>0</v>
      </c>
      <c r="H39" s="5" t="n">
        <v>0.0008</v>
      </c>
      <c r="I39" s="5" t="n">
        <v>0</v>
      </c>
      <c r="J39" s="5" t="n">
        <v>0</v>
      </c>
      <c r="K39" s="5" t="n">
        <v>0</v>
      </c>
    </row>
    <row r="40" customFormat="false" ht="15" hidden="false" customHeight="false" outlineLevel="0" collapsed="false">
      <c r="A40" s="3" t="s">
        <v>75</v>
      </c>
      <c r="B40" s="3" t="s">
        <v>58</v>
      </c>
      <c r="C40" s="3" t="n">
        <v>0.215</v>
      </c>
      <c r="D40" s="3" t="n">
        <v>0.898104</v>
      </c>
      <c r="E40" s="3" t="n">
        <v>0.94416</v>
      </c>
      <c r="F40" s="4" t="b">
        <f aca="false">FALSE()</f>
        <v>0</v>
      </c>
      <c r="G40" s="4" t="b">
        <f aca="false">FALSE()</f>
        <v>0</v>
      </c>
      <c r="H40" s="3" t="n">
        <v>0.0003</v>
      </c>
      <c r="I40" s="3" t="n">
        <v>0</v>
      </c>
      <c r="J40" s="3" t="n">
        <v>0</v>
      </c>
      <c r="K40" s="3" t="n">
        <v>0</v>
      </c>
    </row>
    <row r="41" customFormat="false" ht="15" hidden="false" customHeight="false" outlineLevel="0" collapsed="false">
      <c r="A41" s="5" t="s">
        <v>76</v>
      </c>
      <c r="B41" s="5" t="s">
        <v>54</v>
      </c>
      <c r="C41" s="5" t="n">
        <v>0</v>
      </c>
      <c r="D41" s="5" t="n">
        <v>1</v>
      </c>
      <c r="E41" s="5" t="n">
        <v>1</v>
      </c>
      <c r="F41" s="6" t="b">
        <f aca="false">FALSE()</f>
        <v>0</v>
      </c>
      <c r="G41" s="6" t="b">
        <f aca="false">FALSE()</f>
        <v>0</v>
      </c>
      <c r="H41" s="5" t="n">
        <v>0</v>
      </c>
      <c r="I41" s="5" t="n">
        <v>0</v>
      </c>
      <c r="J41" s="5" t="n">
        <v>0</v>
      </c>
      <c r="K41" s="5" t="n">
        <v>0</v>
      </c>
    </row>
    <row r="42" customFormat="false" ht="15" hidden="false" customHeight="false" outlineLevel="0" collapsed="false">
      <c r="A42" s="3" t="s">
        <v>77</v>
      </c>
      <c r="B42" s="3" t="s">
        <v>44</v>
      </c>
      <c r="C42" s="3" t="n">
        <v>0</v>
      </c>
      <c r="D42" s="3" t="n">
        <v>1</v>
      </c>
      <c r="E42" s="3" t="n">
        <v>1</v>
      </c>
      <c r="F42" s="4" t="b">
        <f aca="false">FALSE()</f>
        <v>0</v>
      </c>
      <c r="G42" s="4" t="b">
        <f aca="false">FALSE()</f>
        <v>0</v>
      </c>
      <c r="H42" s="3" t="n">
        <v>0</v>
      </c>
      <c r="I42" s="3" t="n">
        <v>0</v>
      </c>
      <c r="J42" s="3" t="n">
        <v>0</v>
      </c>
      <c r="K42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2026-05-23T17:10:38Z</dcterms:created>
  <dc:creator>openpyxl</dc:creator>
  <dc:description/>
  <dc:language>es-ES</dc:language>
  <cp:lastModifiedBy/>
  <dcterms:modified xsi:type="dcterms:W3CDTF">2026-05-30T12:59:15Z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